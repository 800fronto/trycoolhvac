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aseline P&amp;L" sheetId="2" state="visible" r:id="rId4"/>
    <sheet name="AI-Enhanced P&amp;L" sheetId="3" state="visible" r:id="rId5"/>
    <sheet name="AI Impac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<sst xmlns="http://schemas.openxmlformats.org/spreadsheetml/2006/main" count="148" uniqueCount="100">
  <si>
    <t xml:space="preserve">HVAC Service Company — Financial Model Assumptions</t>
  </si>
  <si>
    <t xml:space="preserve">BASELINE ASSUMPTIONS</t>
  </si>
  <si>
    <t xml:space="preserve">$1M Tier</t>
  </si>
  <si>
    <t xml:space="preserve">$2.5M Tier</t>
  </si>
  <si>
    <t xml:space="preserve">$5M Tier</t>
  </si>
  <si>
    <t xml:space="preserve">Revenue</t>
  </si>
  <si>
    <t xml:space="preserve">Total Revenue</t>
  </si>
  <si>
    <t xml:space="preserve">  Residential Service &amp; Repair (%)</t>
  </si>
  <si>
    <t xml:space="preserve">  Commercial Service &amp; Repair (%)</t>
  </si>
  <si>
    <t xml:space="preserve">  Maintenance Contracts (%)</t>
  </si>
  <si>
    <t xml:space="preserve">  New Installations (%)</t>
  </si>
  <si>
    <t xml:space="preserve">Cost of Revenue</t>
  </si>
  <si>
    <t xml:space="preserve">  Technician Labor (% of Rev)</t>
  </si>
  <si>
    <t xml:space="preserve">  Parts &amp; Materials (% of Rev)</t>
  </si>
  <si>
    <t xml:space="preserve">  Vehicle &amp; Equipment (% of Rev)</t>
  </si>
  <si>
    <t xml:space="preserve">  Subcontractors (% of Rev)</t>
  </si>
  <si>
    <t xml:space="preserve">Sales &amp; Marketing</t>
  </si>
  <si>
    <t xml:space="preserve">  Sales Staff &amp; Commissions (% of Rev)</t>
  </si>
  <si>
    <t xml:space="preserve">  Advertising &amp; Lead Gen (% of Rev)</t>
  </si>
  <si>
    <t xml:space="preserve">  Website &amp; Digital Marketing (% of Rev)</t>
  </si>
  <si>
    <t xml:space="preserve">  Referral Programs (% of Rev)</t>
  </si>
  <si>
    <t xml:space="preserve">General &amp; Administrative</t>
  </si>
  <si>
    <t xml:space="preserve">  Owner / GM Salary</t>
  </si>
  <si>
    <t xml:space="preserve">  Office &amp; Admin Staff</t>
  </si>
  <si>
    <t xml:space="preserve">  Rent &amp; Utilities (Low Fixed)</t>
  </si>
  <si>
    <t xml:space="preserve">  Insurance (GL, WC, Auto)</t>
  </si>
  <si>
    <t xml:space="preserve">  Software &amp; IT</t>
  </si>
  <si>
    <t xml:space="preserve">  Accounting &amp; Legal</t>
  </si>
  <si>
    <t xml:space="preserve">  Licenses, Permits, Training</t>
  </si>
  <si>
    <t xml:space="preserve">  Miscellaneous G&amp;A</t>
  </si>
  <si>
    <t xml:space="preserve">AI ENHANCEMENT ASSUMPTIONS</t>
  </si>
  <si>
    <t xml:space="preserve">AI tools are pre-built and deployed at minimal incremental cost. Savings come from automation of scheduling, dispatch, quoting, bookkeeping, CRM, and marketing.</t>
  </si>
  <si>
    <t xml:space="preserve">AI Impact on G&amp;A</t>
  </si>
  <si>
    <t xml:space="preserve">  Office &amp; Admin Staff Reduction</t>
  </si>
  <si>
    <t xml:space="preserve">AI handles scheduling, dispatch, invoicing, bookkeeping</t>
  </si>
  <si>
    <t xml:space="preserve">  Software &amp; IT Change</t>
  </si>
  <si>
    <t xml:space="preserve">Net: replace multiple tools with AI platform</t>
  </si>
  <si>
    <t xml:space="preserve">  Accounting &amp; Legal Reduction</t>
  </si>
  <si>
    <t xml:space="preserve">AI-assisted bookkeeping, auto-categorization</t>
  </si>
  <si>
    <t xml:space="preserve">  Misc G&amp;A Reduction</t>
  </si>
  <si>
    <t xml:space="preserve">General efficiency gains</t>
  </si>
  <si>
    <t xml:space="preserve">AI Impact on Sales &amp; Marketing</t>
  </si>
  <si>
    <t xml:space="preserve">  Sales Staff &amp; Commissions Reduction</t>
  </si>
  <si>
    <t xml:space="preserve">AI-powered CRM, auto follow-ups, lead scoring</t>
  </si>
  <si>
    <t xml:space="preserve">  Advertising &amp; Lead Gen Reduction</t>
  </si>
  <si>
    <t xml:space="preserve">AI-optimized ad spend, better targeting</t>
  </si>
  <si>
    <t xml:space="preserve">  Website &amp; Digital Mktg Reduction</t>
  </si>
  <si>
    <t xml:space="preserve">AI content generation, SEO, chatbot</t>
  </si>
  <si>
    <t xml:space="preserve">  Referral Program Boost (added Rev %)</t>
  </si>
  <si>
    <t xml:space="preserve">AI-triggered review requests &amp; referral prompts</t>
  </si>
  <si>
    <t xml:space="preserve">AI Platform Cost</t>
  </si>
  <si>
    <t xml:space="preserve">  Monthly AI Platform Fee</t>
  </si>
  <si>
    <t xml:space="preserve">Assume bundled AI tooling</t>
  </si>
  <si>
    <t xml:space="preserve">  Implementation / One-Time (Yr 1 only)</t>
  </si>
  <si>
    <t xml:space="preserve">Minimal — tools pre-built</t>
  </si>
  <si>
    <t xml:space="preserve">HVAC Service Company — Baseline P&amp;L (No AI)</t>
  </si>
  <si>
    <t xml:space="preserve">% Rev</t>
  </si>
  <si>
    <t xml:space="preserve">  Technician Labor</t>
  </si>
  <si>
    <t xml:space="preserve">  Parts &amp; Materials</t>
  </si>
  <si>
    <t xml:space="preserve">  Vehicle &amp; Equipment</t>
  </si>
  <si>
    <t xml:space="preserve">  Subcontractors</t>
  </si>
  <si>
    <t xml:space="preserve">Total Cost of Revenue</t>
  </si>
  <si>
    <t xml:space="preserve">Gross Profit</t>
  </si>
  <si>
    <t xml:space="preserve">  Sales Staff &amp; Commissions</t>
  </si>
  <si>
    <t xml:space="preserve">  Advertising &amp; Lead Gen</t>
  </si>
  <si>
    <t xml:space="preserve">  Website &amp; Digital Marketing</t>
  </si>
  <si>
    <t xml:space="preserve">  Referral Programs</t>
  </si>
  <si>
    <t xml:space="preserve">Total Sales &amp; Marketing</t>
  </si>
  <si>
    <t xml:space="preserve">  Rent &amp; Utilities</t>
  </si>
  <si>
    <t xml:space="preserve">  Insurance</t>
  </si>
  <si>
    <t xml:space="preserve">  Miscellaneous</t>
  </si>
  <si>
    <t xml:space="preserve">Total G&amp;A</t>
  </si>
  <si>
    <t xml:space="preserve">Total Operating Expenses</t>
  </si>
  <si>
    <t xml:space="preserve">EBITDA</t>
  </si>
  <si>
    <t xml:space="preserve">HVAC Service Company — AI-Enhanced P&amp;L</t>
  </si>
  <si>
    <t xml:space="preserve">Leveraging AI for G&amp;A automation and Sales &amp; Marketing optimization</t>
  </si>
  <si>
    <t xml:space="preserve">Revenue (incl. AI referral uplift)</t>
  </si>
  <si>
    <t xml:space="preserve">Cost of Revenue (unchanged)</t>
  </si>
  <si>
    <t xml:space="preserve">Sales &amp; Marketing (AI-Optimized)</t>
  </si>
  <si>
    <t xml:space="preserve">General &amp; Administrative (AI-Automated)</t>
  </si>
  <si>
    <t xml:space="preserve">  Software &amp; IT (net of AI platform)</t>
  </si>
  <si>
    <t xml:space="preserve">AI Impact Summary — Baseline vs. AI-Enhanced</t>
  </si>
  <si>
    <t xml:space="preserve">  Baseline Revenue</t>
  </si>
  <si>
    <t xml:space="preserve">  AI-Enhanced Revenue</t>
  </si>
  <si>
    <t xml:space="preserve">  Revenue Uplift</t>
  </si>
  <si>
    <t xml:space="preserve">Sales &amp; Marketing Savings</t>
  </si>
  <si>
    <t xml:space="preserve">  Baseline S&amp;M</t>
  </si>
  <si>
    <t xml:space="preserve">  AI-Enhanced S&amp;M</t>
  </si>
  <si>
    <t xml:space="preserve">  S&amp;M Savings</t>
  </si>
  <si>
    <t xml:space="preserve">G&amp;A Savings</t>
  </si>
  <si>
    <t xml:space="preserve">  Baseline G&amp;A</t>
  </si>
  <si>
    <t xml:space="preserve">  AI-Enhanced G&amp;A</t>
  </si>
  <si>
    <t xml:space="preserve">  G&amp;A Savings</t>
  </si>
  <si>
    <t xml:space="preserve">EBITDA Comparison</t>
  </si>
  <si>
    <t xml:space="preserve">  Baseline EBITDA</t>
  </si>
  <si>
    <t xml:space="preserve">  Baseline EBITDA Margin</t>
  </si>
  <si>
    <t xml:space="preserve">  AI-Enhanced EBITDA</t>
  </si>
  <si>
    <t xml:space="preserve">  AI-Enhanced EBITDA Margin</t>
  </si>
  <si>
    <t xml:space="preserve">Total EBITDA Improvement ($)</t>
  </si>
  <si>
    <t xml:space="preserve">EBITDA Margin Improvement (pp)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</si>
</sst>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;&quot;($&quot;#,##0\);\-"/>
    <numFmt numFmtId="168" formatCode="0.0&quot;pp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6" min="6" style="0" width="4"/>
    <col collapsed="false" customWidth="true" hidden="false" outlineLevel="0" max="7" min="7" style="0" width="4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 t="s">
        <v>1</v>
      </c>
      <c r="C4" s="2"/>
      <c r="D4" s="2"/>
      <c r="E4" s="2"/>
    </row>
    <row r="6" customFormat="false" ht="15" hidden="false" customHeight="false" outlineLevel="0" collapsed="false">
      <c r="B6" s="3"/>
      <c r="C6" s="4" t="s">
        <v>2</v>
      </c>
      <c r="D6" s="4" t="s">
        <v>3</v>
      </c>
      <c r="E6" s="4" t="s">
        <v>4</v>
      </c>
    </row>
    <row r="7" customFormat="false" ht="15" hidden="false" customHeight="false" outlineLevel="0" collapsed="false">
      <c r="B7" s="5" t="s">
        <v>5</v>
      </c>
      <c r="C7" s="6"/>
      <c r="D7" s="6"/>
      <c r="E7" s="6"/>
    </row>
    <row r="8" customFormat="false" ht="15" hidden="false" customHeight="false" outlineLevel="0" collapsed="false">
      <c r="B8" s="7" t="s">
        <v>6</v>
      </c>
      <c r="C8" s="8" t="n">
        <v>1000000</v>
      </c>
      <c r="D8" s="8" t="n">
        <v>2500000</v>
      </c>
      <c r="E8" s="8" t="n">
        <v>5000000</v>
      </c>
    </row>
    <row r="9" customFormat="false" ht="15" hidden="false" customHeight="false" outlineLevel="0" collapsed="false">
      <c r="B9" s="7" t="s">
        <v>7</v>
      </c>
      <c r="C9" s="9" t="n">
        <v>0.45</v>
      </c>
      <c r="D9" s="9" t="n">
        <v>0.35</v>
      </c>
      <c r="E9" s="9" t="n">
        <v>0.25</v>
      </c>
    </row>
    <row r="10" customFormat="false" ht="15" hidden="false" customHeight="false" outlineLevel="0" collapsed="false">
      <c r="B10" s="7" t="s">
        <v>8</v>
      </c>
      <c r="C10" s="9" t="n">
        <v>0.2</v>
      </c>
      <c r="D10" s="9" t="n">
        <v>0.25</v>
      </c>
      <c r="E10" s="9" t="n">
        <v>0.3</v>
      </c>
    </row>
    <row r="11" customFormat="false" ht="15" hidden="false" customHeight="false" outlineLevel="0" collapsed="false">
      <c r="B11" s="7" t="s">
        <v>9</v>
      </c>
      <c r="C11" s="9" t="n">
        <v>0.15</v>
      </c>
      <c r="D11" s="9" t="n">
        <v>0.2</v>
      </c>
      <c r="E11" s="9" t="n">
        <v>0.25</v>
      </c>
    </row>
    <row r="12" customFormat="false" ht="15" hidden="false" customHeight="false" outlineLevel="0" collapsed="false">
      <c r="B12" s="7" t="s">
        <v>10</v>
      </c>
      <c r="C12" s="9" t="n">
        <v>0.2</v>
      </c>
      <c r="D12" s="9" t="n">
        <v>0.2</v>
      </c>
      <c r="E12" s="9" t="n">
        <v>0.2</v>
      </c>
    </row>
    <row r="14" customFormat="false" ht="15" hidden="false" customHeight="false" outlineLevel="0" collapsed="false">
      <c r="B14" s="5" t="s">
        <v>11</v>
      </c>
      <c r="C14" s="6"/>
      <c r="D14" s="6"/>
      <c r="E14" s="6"/>
    </row>
    <row r="15" customFormat="false" ht="15" hidden="false" customHeight="false" outlineLevel="0" collapsed="false">
      <c r="B15" s="7" t="s">
        <v>12</v>
      </c>
      <c r="C15" s="9" t="n">
        <v>0.3</v>
      </c>
      <c r="D15" s="9" t="n">
        <v>0.28</v>
      </c>
      <c r="E15" s="9" t="n">
        <v>0.26</v>
      </c>
    </row>
    <row r="16" customFormat="false" ht="15" hidden="false" customHeight="false" outlineLevel="0" collapsed="false">
      <c r="B16" s="7" t="s">
        <v>13</v>
      </c>
      <c r="C16" s="9" t="n">
        <v>0.18</v>
      </c>
      <c r="D16" s="9" t="n">
        <v>0.17</v>
      </c>
      <c r="E16" s="9" t="n">
        <v>0.16</v>
      </c>
    </row>
    <row r="17" customFormat="false" ht="15" hidden="false" customHeight="false" outlineLevel="0" collapsed="false">
      <c r="B17" s="7" t="s">
        <v>14</v>
      </c>
      <c r="C17" s="9" t="n">
        <v>0.05</v>
      </c>
      <c r="D17" s="9" t="n">
        <v>0.045</v>
      </c>
      <c r="E17" s="9" t="n">
        <v>0.04</v>
      </c>
    </row>
    <row r="18" customFormat="false" ht="15" hidden="false" customHeight="false" outlineLevel="0" collapsed="false">
      <c r="B18" s="7" t="s">
        <v>15</v>
      </c>
      <c r="C18" s="9" t="n">
        <v>0.02</v>
      </c>
      <c r="D18" s="9" t="n">
        <v>0.03</v>
      </c>
      <c r="E18" s="9" t="n">
        <v>0.04</v>
      </c>
    </row>
    <row r="20" customFormat="false" ht="15" hidden="false" customHeight="false" outlineLevel="0" collapsed="false">
      <c r="B20" s="5" t="s">
        <v>16</v>
      </c>
      <c r="C20" s="6"/>
      <c r="D20" s="6"/>
      <c r="E20" s="6"/>
    </row>
    <row r="21" customFormat="false" ht="15" hidden="false" customHeight="false" outlineLevel="0" collapsed="false">
      <c r="B21" s="7" t="s">
        <v>17</v>
      </c>
      <c r="C21" s="9" t="n">
        <v>0.04</v>
      </c>
      <c r="D21" s="9" t="n">
        <v>0.045</v>
      </c>
      <c r="E21" s="9" t="n">
        <v>0.05</v>
      </c>
    </row>
    <row r="22" customFormat="false" ht="15" hidden="false" customHeight="false" outlineLevel="0" collapsed="false">
      <c r="B22" s="7" t="s">
        <v>18</v>
      </c>
      <c r="C22" s="9" t="n">
        <v>0.05</v>
      </c>
      <c r="D22" s="9" t="n">
        <v>0.045</v>
      </c>
      <c r="E22" s="9" t="n">
        <v>0.04</v>
      </c>
    </row>
    <row r="23" customFormat="false" ht="15" hidden="false" customHeight="false" outlineLevel="0" collapsed="false">
      <c r="B23" s="7" t="s">
        <v>19</v>
      </c>
      <c r="C23" s="9" t="n">
        <v>0.015</v>
      </c>
      <c r="D23" s="9" t="n">
        <v>0.012</v>
      </c>
      <c r="E23" s="9" t="n">
        <v>0.01</v>
      </c>
    </row>
    <row r="24" customFormat="false" ht="15" hidden="false" customHeight="false" outlineLevel="0" collapsed="false">
      <c r="B24" s="7" t="s">
        <v>20</v>
      </c>
      <c r="C24" s="9" t="n">
        <v>0.005</v>
      </c>
      <c r="D24" s="9" t="n">
        <v>0.008</v>
      </c>
      <c r="E24" s="9" t="n">
        <v>0.01</v>
      </c>
    </row>
    <row r="26" customFormat="false" ht="15" hidden="false" customHeight="false" outlineLevel="0" collapsed="false">
      <c r="B26" s="5" t="s">
        <v>21</v>
      </c>
      <c r="C26" s="6"/>
      <c r="D26" s="6"/>
      <c r="E26" s="6"/>
    </row>
    <row r="27" customFormat="false" ht="15" hidden="false" customHeight="false" outlineLevel="0" collapsed="false">
      <c r="B27" s="7" t="s">
        <v>22</v>
      </c>
      <c r="C27" s="8" t="n">
        <v>120000</v>
      </c>
      <c r="D27" s="8" t="n">
        <v>160000</v>
      </c>
      <c r="E27" s="8" t="n">
        <v>200000</v>
      </c>
    </row>
    <row r="28" customFormat="false" ht="15" hidden="false" customHeight="false" outlineLevel="0" collapsed="false">
      <c r="B28" s="7" t="s">
        <v>23</v>
      </c>
      <c r="C28" s="8" t="n">
        <v>45000</v>
      </c>
      <c r="D28" s="8" t="n">
        <v>95000</v>
      </c>
      <c r="E28" s="8" t="n">
        <v>160000</v>
      </c>
    </row>
    <row r="29" customFormat="false" ht="15" hidden="false" customHeight="false" outlineLevel="0" collapsed="false">
      <c r="B29" s="7" t="s">
        <v>24</v>
      </c>
      <c r="C29" s="8" t="n">
        <v>24000</v>
      </c>
      <c r="D29" s="8" t="n">
        <v>36000</v>
      </c>
      <c r="E29" s="8" t="n">
        <v>48000</v>
      </c>
    </row>
    <row r="30" customFormat="false" ht="15" hidden="false" customHeight="false" outlineLevel="0" collapsed="false">
      <c r="B30" s="7" t="s">
        <v>25</v>
      </c>
      <c r="C30" s="8" t="n">
        <v>30000</v>
      </c>
      <c r="D30" s="8" t="n">
        <v>55000</v>
      </c>
      <c r="E30" s="8" t="n">
        <v>90000</v>
      </c>
    </row>
    <row r="31" customFormat="false" ht="15" hidden="false" customHeight="false" outlineLevel="0" collapsed="false">
      <c r="B31" s="7" t="s">
        <v>26</v>
      </c>
      <c r="C31" s="8" t="n">
        <v>12000</v>
      </c>
      <c r="D31" s="8" t="n">
        <v>24000</v>
      </c>
      <c r="E31" s="8" t="n">
        <v>42000</v>
      </c>
    </row>
    <row r="32" customFormat="false" ht="15" hidden="false" customHeight="false" outlineLevel="0" collapsed="false">
      <c r="B32" s="7" t="s">
        <v>27</v>
      </c>
      <c r="C32" s="8" t="n">
        <v>15000</v>
      </c>
      <c r="D32" s="8" t="n">
        <v>25000</v>
      </c>
      <c r="E32" s="8" t="n">
        <v>40000</v>
      </c>
    </row>
    <row r="33" customFormat="false" ht="15" hidden="false" customHeight="false" outlineLevel="0" collapsed="false">
      <c r="B33" s="7" t="s">
        <v>28</v>
      </c>
      <c r="C33" s="8" t="n">
        <v>8000</v>
      </c>
      <c r="D33" s="8" t="n">
        <v>15000</v>
      </c>
      <c r="E33" s="8" t="n">
        <v>25000</v>
      </c>
    </row>
    <row r="34" customFormat="false" ht="15" hidden="false" customHeight="false" outlineLevel="0" collapsed="false">
      <c r="B34" s="7" t="s">
        <v>29</v>
      </c>
      <c r="C34" s="8" t="n">
        <v>6000</v>
      </c>
      <c r="D34" s="8" t="n">
        <v>10000</v>
      </c>
      <c r="E34" s="8" t="n">
        <v>18000</v>
      </c>
    </row>
    <row r="36" customFormat="false" ht="15" hidden="false" customHeight="false" outlineLevel="0" collapsed="false">
      <c r="B36" s="2" t="s">
        <v>30</v>
      </c>
      <c r="C36" s="2"/>
      <c r="D36" s="2"/>
      <c r="E36" s="2"/>
    </row>
    <row r="37" customFormat="false" ht="30" hidden="false" customHeight="true" outlineLevel="0" collapsed="false">
      <c r="B37" s="10" t="s">
        <v>31</v>
      </c>
      <c r="C37" s="10"/>
      <c r="D37" s="10"/>
      <c r="E37" s="10"/>
    </row>
    <row r="39" customFormat="false" ht="15" hidden="false" customHeight="false" outlineLevel="0" collapsed="false">
      <c r="B39" s="3"/>
      <c r="C39" s="4" t="s">
        <v>2</v>
      </c>
      <c r="D39" s="4" t="s">
        <v>3</v>
      </c>
      <c r="E39" s="4" t="s">
        <v>4</v>
      </c>
    </row>
    <row r="40" customFormat="false" ht="15" hidden="false" customHeight="false" outlineLevel="0" collapsed="false">
      <c r="B40" s="11" t="s">
        <v>32</v>
      </c>
      <c r="C40" s="12"/>
      <c r="D40" s="12"/>
      <c r="E40" s="12"/>
    </row>
    <row r="41" customFormat="false" ht="15" hidden="false" customHeight="false" outlineLevel="0" collapsed="false">
      <c r="B41" s="7" t="s">
        <v>33</v>
      </c>
      <c r="C41" s="9" t="n">
        <v>0.5</v>
      </c>
      <c r="D41" s="9" t="n">
        <v>0.45</v>
      </c>
      <c r="E41" s="9" t="n">
        <v>0.4</v>
      </c>
      <c r="G41" s="13" t="s">
        <v>34</v>
      </c>
    </row>
    <row r="42" customFormat="false" ht="15" hidden="false" customHeight="false" outlineLevel="0" collapsed="false">
      <c r="B42" s="7" t="s">
        <v>35</v>
      </c>
      <c r="C42" s="8" t="n">
        <v>5000</v>
      </c>
      <c r="D42" s="8" t="n">
        <v>8000</v>
      </c>
      <c r="E42" s="8" t="n">
        <v>12000</v>
      </c>
      <c r="G42" s="13" t="s">
        <v>36</v>
      </c>
    </row>
    <row r="43" customFormat="false" ht="15" hidden="false" customHeight="false" outlineLevel="0" collapsed="false">
      <c r="B43" s="7" t="s">
        <v>37</v>
      </c>
      <c r="C43" s="9" t="n">
        <v>0.3</v>
      </c>
      <c r="D43" s="9" t="n">
        <v>0.3</v>
      </c>
      <c r="E43" s="9" t="n">
        <v>0.25</v>
      </c>
      <c r="G43" s="13" t="s">
        <v>38</v>
      </c>
    </row>
    <row r="44" customFormat="false" ht="15" hidden="false" customHeight="false" outlineLevel="0" collapsed="false">
      <c r="B44" s="7" t="s">
        <v>39</v>
      </c>
      <c r="C44" s="9" t="n">
        <v>0.2</v>
      </c>
      <c r="D44" s="9" t="n">
        <v>0.2</v>
      </c>
      <c r="E44" s="9" t="n">
        <v>0.2</v>
      </c>
      <c r="G44" s="13" t="s">
        <v>40</v>
      </c>
    </row>
    <row r="46" customFormat="false" ht="15" hidden="false" customHeight="false" outlineLevel="0" collapsed="false">
      <c r="B46" s="11" t="s">
        <v>41</v>
      </c>
      <c r="C46" s="12"/>
      <c r="D46" s="12"/>
      <c r="E46" s="12"/>
    </row>
    <row r="47" customFormat="false" ht="15" hidden="false" customHeight="false" outlineLevel="0" collapsed="false">
      <c r="B47" s="7" t="s">
        <v>42</v>
      </c>
      <c r="C47" s="9" t="n">
        <v>0.25</v>
      </c>
      <c r="D47" s="9" t="n">
        <v>0.2</v>
      </c>
      <c r="E47" s="9" t="n">
        <v>0.15</v>
      </c>
      <c r="G47" s="13" t="s">
        <v>43</v>
      </c>
    </row>
    <row r="48" customFormat="false" ht="15" hidden="false" customHeight="false" outlineLevel="0" collapsed="false">
      <c r="B48" s="7" t="s">
        <v>44</v>
      </c>
      <c r="C48" s="9" t="n">
        <v>0.3</v>
      </c>
      <c r="D48" s="9" t="n">
        <v>0.25</v>
      </c>
      <c r="E48" s="9" t="n">
        <v>0.2</v>
      </c>
      <c r="G48" s="13" t="s">
        <v>45</v>
      </c>
    </row>
    <row r="49" customFormat="false" ht="15" hidden="false" customHeight="false" outlineLevel="0" collapsed="false">
      <c r="B49" s="7" t="s">
        <v>46</v>
      </c>
      <c r="C49" s="9" t="n">
        <v>0.4</v>
      </c>
      <c r="D49" s="9" t="n">
        <v>0.4</v>
      </c>
      <c r="E49" s="9" t="n">
        <v>0.35</v>
      </c>
      <c r="G49" s="13" t="s">
        <v>47</v>
      </c>
    </row>
    <row r="50" customFormat="false" ht="15" hidden="false" customHeight="false" outlineLevel="0" collapsed="false">
      <c r="B50" s="7" t="s">
        <v>48</v>
      </c>
      <c r="C50" s="9" t="n">
        <v>0.005</v>
      </c>
      <c r="D50" s="9" t="n">
        <v>0.005</v>
      </c>
      <c r="E50" s="9" t="n">
        <v>0.005</v>
      </c>
      <c r="G50" s="13" t="s">
        <v>49</v>
      </c>
    </row>
    <row r="52" customFormat="false" ht="15" hidden="false" customHeight="false" outlineLevel="0" collapsed="false">
      <c r="B52" s="11" t="s">
        <v>50</v>
      </c>
      <c r="C52" s="12"/>
      <c r="D52" s="12"/>
      <c r="E52" s="12"/>
    </row>
    <row r="53" customFormat="false" ht="15" hidden="false" customHeight="false" outlineLevel="0" collapsed="false">
      <c r="B53" s="7" t="s">
        <v>51</v>
      </c>
      <c r="C53" s="8" t="n">
        <v>500</v>
      </c>
      <c r="D53" s="8" t="n">
        <v>750</v>
      </c>
      <c r="E53" s="8" t="n">
        <v>1000</v>
      </c>
      <c r="G53" s="13" t="s">
        <v>52</v>
      </c>
    </row>
    <row r="54" customFormat="false" ht="15" hidden="false" customHeight="false" outlineLevel="0" collapsed="false">
      <c r="B54" s="7" t="s">
        <v>53</v>
      </c>
      <c r="C54" s="8" t="n">
        <v>2000</v>
      </c>
      <c r="D54" s="8" t="n">
        <v>3000</v>
      </c>
      <c r="E54" s="8" t="n">
        <v>5000</v>
      </c>
      <c r="G54" s="13" t="s">
        <v>54</v>
      </c>
    </row>
  </sheetData>
  <mergeCells count="4">
    <mergeCell ref="B2:E2"/>
    <mergeCell ref="B4:E4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3"/>
  </cols>
  <sheetData>
    <row r="2" customFormat="false" ht="19.7" hidden="false" customHeight="false" outlineLevel="0" collapsed="false">
      <c r="B2" s="1" t="s">
        <v>55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3"/>
      <c r="C4" s="4" t="s">
        <v>2</v>
      </c>
      <c r="D4" s="4" t="s">
        <v>56</v>
      </c>
      <c r="E4" s="4" t="s">
        <v>3</v>
      </c>
      <c r="F4" s="4" t="s">
        <v>56</v>
      </c>
      <c r="G4" s="4" t="s">
        <v>4</v>
      </c>
      <c r="H4" s="4" t="s">
        <v>56</v>
      </c>
    </row>
    <row r="6" customFormat="false" ht="15" hidden="false" customHeight="false" outlineLevel="0" collapsed="false">
      <c r="B6" s="14" t="s">
        <v>5</v>
      </c>
      <c r="C6" s="15" t="n">
        <f aca="false">Assumptions!C8</f>
        <v>1000000</v>
      </c>
      <c r="D6" s="16" t="n">
        <v>1</v>
      </c>
      <c r="E6" s="15" t="n">
        <f aca="false">Assumptions!D8</f>
        <v>2500000</v>
      </c>
      <c r="F6" s="16" t="n">
        <v>1</v>
      </c>
      <c r="G6" s="15" t="n">
        <f aca="false">Assumptions!E8</f>
        <v>5000000</v>
      </c>
      <c r="H6" s="16" t="n">
        <v>1</v>
      </c>
    </row>
    <row r="8" customFormat="false" ht="15" hidden="false" customHeight="false" outlineLevel="0" collapsed="false">
      <c r="B8" s="5" t="s">
        <v>11</v>
      </c>
    </row>
    <row r="9" customFormat="false" ht="15" hidden="false" customHeight="false" outlineLevel="0" collapsed="false">
      <c r="B9" s="7" t="s">
        <v>57</v>
      </c>
      <c r="C9" s="17" t="n">
        <f aca="false">Assumptions!C15*Assumptions!C8</f>
        <v>300000</v>
      </c>
      <c r="D9" s="18" t="n">
        <f aca="false">IF(C9=0,"-",C9/C$6)</f>
        <v>0.3</v>
      </c>
      <c r="E9" s="17" t="n">
        <f aca="false">Assumptions!D15*Assumptions!D8</f>
        <v>700000</v>
      </c>
      <c r="F9" s="18" t="n">
        <f aca="false">IF(E9=0,"-",E9/E$6)</f>
        <v>0.28</v>
      </c>
      <c r="G9" s="17" t="n">
        <f aca="false">Assumptions!E15*Assumptions!E8</f>
        <v>1300000</v>
      </c>
      <c r="H9" s="18" t="n">
        <f aca="false">IF(G9=0,"-",G9/G$6)</f>
        <v>0.26</v>
      </c>
    </row>
    <row r="10" customFormat="false" ht="15" hidden="false" customHeight="false" outlineLevel="0" collapsed="false">
      <c r="B10" s="7" t="s">
        <v>58</v>
      </c>
      <c r="C10" s="17" t="n">
        <f aca="false">Assumptions!C16*Assumptions!C8</f>
        <v>180000</v>
      </c>
      <c r="D10" s="18" t="n">
        <f aca="false">IF(C10=0,"-",C10/C$6)</f>
        <v>0.18</v>
      </c>
      <c r="E10" s="17" t="n">
        <f aca="false">Assumptions!D16*Assumptions!D8</f>
        <v>425000</v>
      </c>
      <c r="F10" s="18" t="n">
        <f aca="false">IF(E10=0,"-",E10/E$6)</f>
        <v>0.17</v>
      </c>
      <c r="G10" s="17" t="n">
        <f aca="false">Assumptions!E16*Assumptions!E8</f>
        <v>800000</v>
      </c>
      <c r="H10" s="18" t="n">
        <f aca="false">IF(G10=0,"-",G10/G$6)</f>
        <v>0.16</v>
      </c>
    </row>
    <row r="11" customFormat="false" ht="15" hidden="false" customHeight="false" outlineLevel="0" collapsed="false">
      <c r="B11" s="7" t="s">
        <v>59</v>
      </c>
      <c r="C11" s="17" t="n">
        <f aca="false">Assumptions!C17*Assumptions!C8</f>
        <v>50000</v>
      </c>
      <c r="D11" s="18" t="n">
        <f aca="false">IF(C11=0,"-",C11/C$6)</f>
        <v>0.05</v>
      </c>
      <c r="E11" s="17" t="n">
        <f aca="false">Assumptions!D17*Assumptions!D8</f>
        <v>112500</v>
      </c>
      <c r="F11" s="18" t="n">
        <f aca="false">IF(E11=0,"-",E11/E$6)</f>
        <v>0.045</v>
      </c>
      <c r="G11" s="17" t="n">
        <f aca="false">Assumptions!E17*Assumptions!E8</f>
        <v>200000</v>
      </c>
      <c r="H11" s="18" t="n">
        <f aca="false">IF(G11=0,"-",G11/G$6)</f>
        <v>0.04</v>
      </c>
    </row>
    <row r="12" customFormat="false" ht="15" hidden="false" customHeight="false" outlineLevel="0" collapsed="false">
      <c r="B12" s="7" t="s">
        <v>60</v>
      </c>
      <c r="C12" s="17" t="n">
        <f aca="false">Assumptions!C18*Assumptions!C8</f>
        <v>20000</v>
      </c>
      <c r="D12" s="18" t="n">
        <f aca="false">IF(C12=0,"-",C12/C$6)</f>
        <v>0.02</v>
      </c>
      <c r="E12" s="17" t="n">
        <f aca="false">Assumptions!D18*Assumptions!D8</f>
        <v>75000</v>
      </c>
      <c r="F12" s="18" t="n">
        <f aca="false">IF(E12=0,"-",E12/E$6)</f>
        <v>0.03</v>
      </c>
      <c r="G12" s="17" t="n">
        <f aca="false">Assumptions!E18*Assumptions!E8</f>
        <v>200000</v>
      </c>
      <c r="H12" s="18" t="n">
        <f aca="false">IF(G12=0,"-",G12/G$6)</f>
        <v>0.04</v>
      </c>
    </row>
    <row r="13" customFormat="false" ht="15" hidden="false" customHeight="false" outlineLevel="0" collapsed="false">
      <c r="B13" s="14" t="s">
        <v>61</v>
      </c>
      <c r="C13" s="19" t="n">
        <f aca="false">SUM(C9:C12)</f>
        <v>550000</v>
      </c>
      <c r="D13" s="16" t="n">
        <f aca="false">IF(C13=0,"-",C13/C$6)</f>
        <v>0.55</v>
      </c>
      <c r="E13" s="19" t="n">
        <f aca="false">SUM(E9:E12)</f>
        <v>1312500</v>
      </c>
      <c r="F13" s="16" t="n">
        <f aca="false">IF(E13=0,"-",E13/E$6)</f>
        <v>0.525</v>
      </c>
      <c r="G13" s="19" t="n">
        <f aca="false">SUM(G9:G12)</f>
        <v>2500000</v>
      </c>
      <c r="H13" s="16" t="n">
        <f aca="false">IF(G13=0,"-",G13/G$6)</f>
        <v>0.5</v>
      </c>
    </row>
    <row r="15" customFormat="false" ht="15" hidden="false" customHeight="false" outlineLevel="0" collapsed="false">
      <c r="B15" s="14" t="s">
        <v>62</v>
      </c>
      <c r="C15" s="19" t="n">
        <f aca="false">C6-C13</f>
        <v>450000</v>
      </c>
      <c r="D15" s="16" t="n">
        <f aca="false">IF(C15=0,"-",C15/C$6)</f>
        <v>0.45</v>
      </c>
      <c r="E15" s="19" t="n">
        <f aca="false">E6-E13</f>
        <v>1187500</v>
      </c>
      <c r="F15" s="16" t="n">
        <f aca="false">IF(E15=0,"-",E15/E$6)</f>
        <v>0.475</v>
      </c>
      <c r="G15" s="19" t="n">
        <f aca="false">G6-G13</f>
        <v>2500000</v>
      </c>
      <c r="H15" s="16" t="n">
        <f aca="false">IF(G15=0,"-",G15/G$6)</f>
        <v>0.5</v>
      </c>
    </row>
    <row r="17" customFormat="false" ht="15" hidden="false" customHeight="false" outlineLevel="0" collapsed="false">
      <c r="B17" s="5" t="s">
        <v>16</v>
      </c>
    </row>
    <row r="18" customFormat="false" ht="15" hidden="false" customHeight="false" outlineLevel="0" collapsed="false">
      <c r="B18" s="7" t="s">
        <v>63</v>
      </c>
      <c r="C18" s="17" t="n">
        <f aca="false">Assumptions!C21*Assumptions!C8</f>
        <v>40000</v>
      </c>
      <c r="D18" s="18" t="n">
        <f aca="false">IF(C18=0,"-",C18/C$6)</f>
        <v>0.04</v>
      </c>
      <c r="E18" s="17" t="n">
        <f aca="false">Assumptions!D21*Assumptions!D8</f>
        <v>112500</v>
      </c>
      <c r="F18" s="18" t="n">
        <f aca="false">IF(E18=0,"-",E18/E$6)</f>
        <v>0.045</v>
      </c>
      <c r="G18" s="17" t="n">
        <f aca="false">Assumptions!E21*Assumptions!E8</f>
        <v>250000</v>
      </c>
      <c r="H18" s="18" t="n">
        <f aca="false">IF(G18=0,"-",G18/G$6)</f>
        <v>0.05</v>
      </c>
    </row>
    <row r="19" customFormat="false" ht="15" hidden="false" customHeight="false" outlineLevel="0" collapsed="false">
      <c r="B19" s="7" t="s">
        <v>64</v>
      </c>
      <c r="C19" s="17" t="n">
        <f aca="false">Assumptions!C22*Assumptions!C8</f>
        <v>50000</v>
      </c>
      <c r="D19" s="18" t="n">
        <f aca="false">IF(C19=0,"-",C19/C$6)</f>
        <v>0.05</v>
      </c>
      <c r="E19" s="17" t="n">
        <f aca="false">Assumptions!D22*Assumptions!D8</f>
        <v>112500</v>
      </c>
      <c r="F19" s="18" t="n">
        <f aca="false">IF(E19=0,"-",E19/E$6)</f>
        <v>0.045</v>
      </c>
      <c r="G19" s="17" t="n">
        <f aca="false">Assumptions!E22*Assumptions!E8</f>
        <v>200000</v>
      </c>
      <c r="H19" s="18" t="n">
        <f aca="false">IF(G19=0,"-",G19/G$6)</f>
        <v>0.04</v>
      </c>
    </row>
    <row r="20" customFormat="false" ht="15" hidden="false" customHeight="false" outlineLevel="0" collapsed="false">
      <c r="B20" s="7" t="s">
        <v>65</v>
      </c>
      <c r="C20" s="17" t="n">
        <f aca="false">Assumptions!C23*Assumptions!C8</f>
        <v>15000</v>
      </c>
      <c r="D20" s="18" t="n">
        <f aca="false">IF(C20=0,"-",C20/C$6)</f>
        <v>0.015</v>
      </c>
      <c r="E20" s="17" t="n">
        <f aca="false">Assumptions!D23*Assumptions!D8</f>
        <v>30000</v>
      </c>
      <c r="F20" s="18" t="n">
        <f aca="false">IF(E20=0,"-",E20/E$6)</f>
        <v>0.012</v>
      </c>
      <c r="G20" s="17" t="n">
        <f aca="false">Assumptions!E23*Assumptions!E8</f>
        <v>50000</v>
      </c>
      <c r="H20" s="18" t="n">
        <f aca="false">IF(G20=0,"-",G20/G$6)</f>
        <v>0.01</v>
      </c>
    </row>
    <row r="21" customFormat="false" ht="15" hidden="false" customHeight="false" outlineLevel="0" collapsed="false">
      <c r="B21" s="7" t="s">
        <v>66</v>
      </c>
      <c r="C21" s="17" t="n">
        <f aca="false">Assumptions!C24*Assumptions!C8</f>
        <v>5000</v>
      </c>
      <c r="D21" s="18" t="n">
        <f aca="false">IF(C21=0,"-",C21/C$6)</f>
        <v>0.005</v>
      </c>
      <c r="E21" s="17" t="n">
        <f aca="false">Assumptions!D24*Assumptions!D8</f>
        <v>20000</v>
      </c>
      <c r="F21" s="18" t="n">
        <f aca="false">IF(E21=0,"-",E21/E$6)</f>
        <v>0.008</v>
      </c>
      <c r="G21" s="17" t="n">
        <f aca="false">Assumptions!E24*Assumptions!E8</f>
        <v>50000</v>
      </c>
      <c r="H21" s="18" t="n">
        <f aca="false">IF(G21=0,"-",G21/G$6)</f>
        <v>0.01</v>
      </c>
    </row>
    <row r="22" customFormat="false" ht="15" hidden="false" customHeight="false" outlineLevel="0" collapsed="false">
      <c r="B22" s="14" t="s">
        <v>67</v>
      </c>
      <c r="C22" s="19" t="n">
        <f aca="false">SUM(C18:C21)</f>
        <v>110000</v>
      </c>
      <c r="D22" s="16" t="n">
        <f aca="false">IF(C22=0,"-",C22/C$6)</f>
        <v>0.11</v>
      </c>
      <c r="E22" s="19" t="n">
        <f aca="false">SUM(E18:E21)</f>
        <v>275000</v>
      </c>
      <c r="F22" s="16" t="n">
        <f aca="false">IF(E22=0,"-",E22/E$6)</f>
        <v>0.11</v>
      </c>
      <c r="G22" s="19" t="n">
        <f aca="false">SUM(G18:G21)</f>
        <v>550000</v>
      </c>
      <c r="H22" s="16" t="n">
        <f aca="false">IF(G22=0,"-",G22/G$6)</f>
        <v>0.11</v>
      </c>
    </row>
    <row r="24" customFormat="false" ht="15" hidden="false" customHeight="false" outlineLevel="0" collapsed="false">
      <c r="B24" s="5" t="s">
        <v>21</v>
      </c>
    </row>
    <row r="25" customFormat="false" ht="15" hidden="false" customHeight="false" outlineLevel="0" collapsed="false">
      <c r="B25" s="7" t="s">
        <v>22</v>
      </c>
      <c r="C25" s="17" t="n">
        <f aca="false">Assumptions!C27</f>
        <v>120000</v>
      </c>
      <c r="D25" s="18" t="n">
        <f aca="false">IF(C25=0,"-",C25/C$6)</f>
        <v>0.12</v>
      </c>
      <c r="E25" s="17" t="n">
        <f aca="false">Assumptions!D27</f>
        <v>160000</v>
      </c>
      <c r="F25" s="18" t="n">
        <f aca="false">IF(E25=0,"-",E25/E$6)</f>
        <v>0.064</v>
      </c>
      <c r="G25" s="17" t="n">
        <f aca="false">Assumptions!E27</f>
        <v>200000</v>
      </c>
      <c r="H25" s="18" t="n">
        <f aca="false">IF(G25=0,"-",G25/G$6)</f>
        <v>0.04</v>
      </c>
    </row>
    <row r="26" customFormat="false" ht="15" hidden="false" customHeight="false" outlineLevel="0" collapsed="false">
      <c r="B26" s="7" t="s">
        <v>23</v>
      </c>
      <c r="C26" s="17" t="n">
        <f aca="false">Assumptions!C28</f>
        <v>45000</v>
      </c>
      <c r="D26" s="18" t="n">
        <f aca="false">IF(C26=0,"-",C26/C$6)</f>
        <v>0.045</v>
      </c>
      <c r="E26" s="17" t="n">
        <f aca="false">Assumptions!D28</f>
        <v>95000</v>
      </c>
      <c r="F26" s="18" t="n">
        <f aca="false">IF(E26=0,"-",E26/E$6)</f>
        <v>0.038</v>
      </c>
      <c r="G26" s="17" t="n">
        <f aca="false">Assumptions!E28</f>
        <v>160000</v>
      </c>
      <c r="H26" s="18" t="n">
        <f aca="false">IF(G26=0,"-",G26/G$6)</f>
        <v>0.032</v>
      </c>
    </row>
    <row r="27" customFormat="false" ht="15" hidden="false" customHeight="false" outlineLevel="0" collapsed="false">
      <c r="B27" s="7" t="s">
        <v>68</v>
      </c>
      <c r="C27" s="17" t="n">
        <f aca="false">Assumptions!C29</f>
        <v>24000</v>
      </c>
      <c r="D27" s="18" t="n">
        <f aca="false">IF(C27=0,"-",C27/C$6)</f>
        <v>0.024</v>
      </c>
      <c r="E27" s="17" t="n">
        <f aca="false">Assumptions!D29</f>
        <v>36000</v>
      </c>
      <c r="F27" s="18" t="n">
        <f aca="false">IF(E27=0,"-",E27/E$6)</f>
        <v>0.0144</v>
      </c>
      <c r="G27" s="17" t="n">
        <f aca="false">Assumptions!E29</f>
        <v>48000</v>
      </c>
      <c r="H27" s="18" t="n">
        <f aca="false">IF(G27=0,"-",G27/G$6)</f>
        <v>0.0096</v>
      </c>
    </row>
    <row r="28" customFormat="false" ht="15" hidden="false" customHeight="false" outlineLevel="0" collapsed="false">
      <c r="B28" s="7" t="s">
        <v>69</v>
      </c>
      <c r="C28" s="17" t="n">
        <f aca="false">Assumptions!C30</f>
        <v>30000</v>
      </c>
      <c r="D28" s="18" t="n">
        <f aca="false">IF(C28=0,"-",C28/C$6)</f>
        <v>0.03</v>
      </c>
      <c r="E28" s="17" t="n">
        <f aca="false">Assumptions!D30</f>
        <v>55000</v>
      </c>
      <c r="F28" s="18" t="n">
        <f aca="false">IF(E28=0,"-",E28/E$6)</f>
        <v>0.022</v>
      </c>
      <c r="G28" s="17" t="n">
        <f aca="false">Assumptions!E30</f>
        <v>90000</v>
      </c>
      <c r="H28" s="18" t="n">
        <f aca="false">IF(G28=0,"-",G28/G$6)</f>
        <v>0.018</v>
      </c>
    </row>
    <row r="29" customFormat="false" ht="15" hidden="false" customHeight="false" outlineLevel="0" collapsed="false">
      <c r="B29" s="7" t="s">
        <v>26</v>
      </c>
      <c r="C29" s="17" t="n">
        <f aca="false">Assumptions!C31</f>
        <v>12000</v>
      </c>
      <c r="D29" s="18" t="n">
        <f aca="false">IF(C29=0,"-",C29/C$6)</f>
        <v>0.012</v>
      </c>
      <c r="E29" s="17" t="n">
        <f aca="false">Assumptions!D31</f>
        <v>24000</v>
      </c>
      <c r="F29" s="18" t="n">
        <f aca="false">IF(E29=0,"-",E29/E$6)</f>
        <v>0.0096</v>
      </c>
      <c r="G29" s="17" t="n">
        <f aca="false">Assumptions!E31</f>
        <v>42000</v>
      </c>
      <c r="H29" s="18" t="n">
        <f aca="false">IF(G29=0,"-",G29/G$6)</f>
        <v>0.0084</v>
      </c>
    </row>
    <row r="30" customFormat="false" ht="15" hidden="false" customHeight="false" outlineLevel="0" collapsed="false">
      <c r="B30" s="7" t="s">
        <v>27</v>
      </c>
      <c r="C30" s="17" t="n">
        <f aca="false">Assumptions!C32</f>
        <v>15000</v>
      </c>
      <c r="D30" s="18" t="n">
        <f aca="false">IF(C30=0,"-",C30/C$6)</f>
        <v>0.015</v>
      </c>
      <c r="E30" s="17" t="n">
        <f aca="false">Assumptions!D32</f>
        <v>25000</v>
      </c>
      <c r="F30" s="18" t="n">
        <f aca="false">IF(E30=0,"-",E30/E$6)</f>
        <v>0.01</v>
      </c>
      <c r="G30" s="17" t="n">
        <f aca="false">Assumptions!E32</f>
        <v>40000</v>
      </c>
      <c r="H30" s="18" t="n">
        <f aca="false">IF(G30=0,"-",G30/G$6)</f>
        <v>0.008</v>
      </c>
    </row>
    <row r="31" customFormat="false" ht="15" hidden="false" customHeight="false" outlineLevel="0" collapsed="false">
      <c r="B31" s="7" t="s">
        <v>28</v>
      </c>
      <c r="C31" s="17" t="n">
        <f aca="false">Assumptions!C33</f>
        <v>8000</v>
      </c>
      <c r="D31" s="18" t="n">
        <f aca="false">IF(C31=0,"-",C31/C$6)</f>
        <v>0.008</v>
      </c>
      <c r="E31" s="17" t="n">
        <f aca="false">Assumptions!D33</f>
        <v>15000</v>
      </c>
      <c r="F31" s="18" t="n">
        <f aca="false">IF(E31=0,"-",E31/E$6)</f>
        <v>0.006</v>
      </c>
      <c r="G31" s="17" t="n">
        <f aca="false">Assumptions!E33</f>
        <v>25000</v>
      </c>
      <c r="H31" s="18" t="n">
        <f aca="false">IF(G31=0,"-",G31/G$6)</f>
        <v>0.005</v>
      </c>
    </row>
    <row r="32" customFormat="false" ht="15" hidden="false" customHeight="false" outlineLevel="0" collapsed="false">
      <c r="B32" s="7" t="s">
        <v>70</v>
      </c>
      <c r="C32" s="17" t="n">
        <f aca="false">Assumptions!C34</f>
        <v>6000</v>
      </c>
      <c r="D32" s="18" t="n">
        <f aca="false">IF(C32=0,"-",C32/C$6)</f>
        <v>0.006</v>
      </c>
      <c r="E32" s="17" t="n">
        <f aca="false">Assumptions!D34</f>
        <v>10000</v>
      </c>
      <c r="F32" s="18" t="n">
        <f aca="false">IF(E32=0,"-",E32/E$6)</f>
        <v>0.004</v>
      </c>
      <c r="G32" s="17" t="n">
        <f aca="false">Assumptions!E34</f>
        <v>18000</v>
      </c>
      <c r="H32" s="18" t="n">
        <f aca="false">IF(G32=0,"-",G32/G$6)</f>
        <v>0.0036</v>
      </c>
    </row>
    <row r="33" customFormat="false" ht="15" hidden="false" customHeight="false" outlineLevel="0" collapsed="false">
      <c r="B33" s="14" t="s">
        <v>71</v>
      </c>
      <c r="C33" s="19" t="n">
        <f aca="false">SUM(C25:C32)</f>
        <v>260000</v>
      </c>
      <c r="D33" s="16" t="n">
        <f aca="false">IF(C33=0,"-",C33/C$6)</f>
        <v>0.26</v>
      </c>
      <c r="E33" s="19" t="n">
        <f aca="false">SUM(E25:E32)</f>
        <v>420000</v>
      </c>
      <c r="F33" s="16" t="n">
        <f aca="false">IF(E33=0,"-",E33/E$6)</f>
        <v>0.168</v>
      </c>
      <c r="G33" s="19" t="n">
        <f aca="false">SUM(G25:G32)</f>
        <v>623000</v>
      </c>
      <c r="H33" s="16" t="n">
        <f aca="false">IF(G33=0,"-",G33/G$6)</f>
        <v>0.1246</v>
      </c>
    </row>
    <row r="35" customFormat="false" ht="15" hidden="false" customHeight="false" outlineLevel="0" collapsed="false">
      <c r="B35" s="14" t="s">
        <v>72</v>
      </c>
      <c r="C35" s="19" t="n">
        <f aca="false">C13+C22+C33</f>
        <v>920000</v>
      </c>
      <c r="D35" s="16" t="n">
        <f aca="false">IF(C35=0,"-",C35/C$6)</f>
        <v>0.92</v>
      </c>
      <c r="E35" s="19" t="n">
        <f aca="false">E13+E22+E33</f>
        <v>2007500</v>
      </c>
      <c r="F35" s="16" t="n">
        <f aca="false">IF(E35=0,"-",E35/E$6)</f>
        <v>0.803</v>
      </c>
      <c r="G35" s="19" t="n">
        <f aca="false">G13+G22+G33</f>
        <v>3673000</v>
      </c>
      <c r="H35" s="16" t="n">
        <f aca="false">IF(G35=0,"-",G35/G$6)</f>
        <v>0.7346</v>
      </c>
    </row>
    <row r="37" customFormat="false" ht="15" hidden="false" customHeight="false" outlineLevel="0" collapsed="false">
      <c r="B37" s="20" t="s">
        <v>73</v>
      </c>
      <c r="C37" s="21" t="n">
        <f aca="false">C6-C35</f>
        <v>80000</v>
      </c>
      <c r="D37" s="22" t="n">
        <f aca="false">IF(C37=0,"-",C37/C$6)</f>
        <v>0.08</v>
      </c>
      <c r="E37" s="21" t="n">
        <f aca="false">E6-E35</f>
        <v>492500</v>
      </c>
      <c r="F37" s="22" t="n">
        <f aca="false">IF(E37=0,"-",E37/E$6)</f>
        <v>0.197</v>
      </c>
      <c r="G37" s="21" t="n">
        <f aca="false">G6-G35</f>
        <v>1327000</v>
      </c>
      <c r="H37" s="22" t="n">
        <f aca="false">IF(G37=0,"-",G37/G$6)</f>
        <v>0.2654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3"/>
  </cols>
  <sheetData>
    <row r="2" customFormat="false" ht="19.7" hidden="false" customHeight="false" outlineLevel="0" collapsed="false">
      <c r="B2" s="1" t="s">
        <v>74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3" t="s">
        <v>75</v>
      </c>
      <c r="C3" s="23"/>
      <c r="D3" s="23"/>
      <c r="E3" s="23"/>
      <c r="F3" s="23"/>
      <c r="G3" s="23"/>
      <c r="H3" s="23"/>
    </row>
    <row r="4" customFormat="false" ht="15" hidden="false" customHeight="false" outlineLevel="0" collapsed="false">
      <c r="B4" s="3"/>
      <c r="C4" s="4" t="s">
        <v>2</v>
      </c>
      <c r="D4" s="4" t="s">
        <v>56</v>
      </c>
      <c r="E4" s="4" t="s">
        <v>3</v>
      </c>
      <c r="F4" s="4" t="s">
        <v>56</v>
      </c>
      <c r="G4" s="4" t="s">
        <v>4</v>
      </c>
      <c r="H4" s="4" t="s">
        <v>56</v>
      </c>
    </row>
    <row r="6" customFormat="false" ht="15" hidden="false" customHeight="false" outlineLevel="0" collapsed="false">
      <c r="B6" s="14" t="s">
        <v>76</v>
      </c>
      <c r="C6" s="15" t="n">
        <f aca="false">Assumptions!C8*(1+Assumptions!C50)</f>
        <v>1005000</v>
      </c>
      <c r="D6" s="16" t="n">
        <v>1</v>
      </c>
      <c r="E6" s="15" t="n">
        <f aca="false">Assumptions!D8*(1+Assumptions!D50)</f>
        <v>2512500</v>
      </c>
      <c r="F6" s="16" t="n">
        <v>1</v>
      </c>
      <c r="G6" s="15" t="n">
        <f aca="false">Assumptions!E8*(1+Assumptions!E50)</f>
        <v>5025000</v>
      </c>
      <c r="H6" s="16" t="n">
        <v>1</v>
      </c>
    </row>
    <row r="8" customFormat="false" ht="15" hidden="false" customHeight="false" outlineLevel="0" collapsed="false">
      <c r="B8" s="5" t="s">
        <v>77</v>
      </c>
    </row>
    <row r="9" customFormat="false" ht="15" hidden="false" customHeight="false" outlineLevel="0" collapsed="false">
      <c r="B9" s="7" t="s">
        <v>57</v>
      </c>
      <c r="C9" s="17" t="n">
        <f aca="false">Assumptions!C15*C6</f>
        <v>301500</v>
      </c>
      <c r="D9" s="18" t="n">
        <f aca="false">IF(C9=0,"-",C9/C$6)</f>
        <v>0.3</v>
      </c>
      <c r="E9" s="17" t="n">
        <f aca="false">Assumptions!D15*E6</f>
        <v>703500</v>
      </c>
      <c r="F9" s="18" t="n">
        <f aca="false">IF(E9=0,"-",E9/E$6)</f>
        <v>0.28</v>
      </c>
      <c r="G9" s="17" t="n">
        <f aca="false">Assumptions!E15*G6</f>
        <v>1306500</v>
      </c>
      <c r="H9" s="18" t="n">
        <f aca="false">IF(G9=0,"-",G9/G$6)</f>
        <v>0.26</v>
      </c>
    </row>
    <row r="10" customFormat="false" ht="15" hidden="false" customHeight="false" outlineLevel="0" collapsed="false">
      <c r="B10" s="7" t="s">
        <v>58</v>
      </c>
      <c r="C10" s="17" t="n">
        <f aca="false">Assumptions!C16*C6</f>
        <v>180900</v>
      </c>
      <c r="D10" s="18" t="n">
        <f aca="false">IF(C10=0,"-",C10/C$6)</f>
        <v>0.18</v>
      </c>
      <c r="E10" s="17" t="n">
        <f aca="false">Assumptions!D16*E6</f>
        <v>427125</v>
      </c>
      <c r="F10" s="18" t="n">
        <f aca="false">IF(E10=0,"-",E10/E$6)</f>
        <v>0.17</v>
      </c>
      <c r="G10" s="17" t="n">
        <f aca="false">Assumptions!E16*G6</f>
        <v>804000</v>
      </c>
      <c r="H10" s="18" t="n">
        <f aca="false">IF(G10=0,"-",G10/G$6)</f>
        <v>0.16</v>
      </c>
    </row>
    <row r="11" customFormat="false" ht="15" hidden="false" customHeight="false" outlineLevel="0" collapsed="false">
      <c r="B11" s="7" t="s">
        <v>59</v>
      </c>
      <c r="C11" s="17" t="n">
        <f aca="false">Assumptions!C17*C6</f>
        <v>50250</v>
      </c>
      <c r="D11" s="18" t="n">
        <f aca="false">IF(C11=0,"-",C11/C$6)</f>
        <v>0.05</v>
      </c>
      <c r="E11" s="17" t="n">
        <f aca="false">Assumptions!D17*E6</f>
        <v>113062.5</v>
      </c>
      <c r="F11" s="18" t="n">
        <f aca="false">IF(E11=0,"-",E11/E$6)</f>
        <v>0.045</v>
      </c>
      <c r="G11" s="17" t="n">
        <f aca="false">Assumptions!E17*G6</f>
        <v>201000</v>
      </c>
      <c r="H11" s="18" t="n">
        <f aca="false">IF(G11=0,"-",G11/G$6)</f>
        <v>0.04</v>
      </c>
    </row>
    <row r="12" customFormat="false" ht="15" hidden="false" customHeight="false" outlineLevel="0" collapsed="false">
      <c r="B12" s="7" t="s">
        <v>60</v>
      </c>
      <c r="C12" s="17" t="n">
        <f aca="false">Assumptions!C18*C6</f>
        <v>20100</v>
      </c>
      <c r="D12" s="18" t="n">
        <f aca="false">IF(C12=0,"-",C12/C$6)</f>
        <v>0.02</v>
      </c>
      <c r="E12" s="17" t="n">
        <f aca="false">Assumptions!D18*E6</f>
        <v>75375</v>
      </c>
      <c r="F12" s="18" t="n">
        <f aca="false">IF(E12=0,"-",E12/E$6)</f>
        <v>0.03</v>
      </c>
      <c r="G12" s="17" t="n">
        <f aca="false">Assumptions!E18*G6</f>
        <v>201000</v>
      </c>
      <c r="H12" s="18" t="n">
        <f aca="false">IF(G12=0,"-",G12/G$6)</f>
        <v>0.04</v>
      </c>
    </row>
    <row r="13" customFormat="false" ht="15" hidden="false" customHeight="false" outlineLevel="0" collapsed="false">
      <c r="B13" s="14" t="s">
        <v>61</v>
      </c>
      <c r="C13" s="19" t="n">
        <f aca="false">SUM(C9:C12)</f>
        <v>552750</v>
      </c>
      <c r="D13" s="16" t="n">
        <f aca="false">IF(C13=0,"-",C13/C$6)</f>
        <v>0.55</v>
      </c>
      <c r="E13" s="19" t="n">
        <f aca="false">SUM(E9:E12)</f>
        <v>1319062.5</v>
      </c>
      <c r="F13" s="16" t="n">
        <f aca="false">IF(E13=0,"-",E13/E$6)</f>
        <v>0.525</v>
      </c>
      <c r="G13" s="19" t="n">
        <f aca="false">SUM(G9:G12)</f>
        <v>2512500</v>
      </c>
      <c r="H13" s="16" t="n">
        <f aca="false">IF(G13=0,"-",G13/G$6)</f>
        <v>0.5</v>
      </c>
    </row>
    <row r="15" customFormat="false" ht="15" hidden="false" customHeight="false" outlineLevel="0" collapsed="false">
      <c r="B15" s="14" t="s">
        <v>62</v>
      </c>
      <c r="C15" s="19" t="n">
        <f aca="false">C6-C13</f>
        <v>452250</v>
      </c>
      <c r="D15" s="16" t="n">
        <f aca="false">IF(C15=0,"-",C15/C$6)</f>
        <v>0.45</v>
      </c>
      <c r="E15" s="19" t="n">
        <f aca="false">E6-E13</f>
        <v>1193437.5</v>
      </c>
      <c r="F15" s="16" t="n">
        <f aca="false">IF(E15=0,"-",E15/E$6)</f>
        <v>0.475</v>
      </c>
      <c r="G15" s="19" t="n">
        <f aca="false">G6-G13</f>
        <v>2512500</v>
      </c>
      <c r="H15" s="16" t="n">
        <f aca="false">IF(G15=0,"-",G15/G$6)</f>
        <v>0.5</v>
      </c>
    </row>
    <row r="17" customFormat="false" ht="15" hidden="false" customHeight="false" outlineLevel="0" collapsed="false">
      <c r="B17" s="5" t="s">
        <v>78</v>
      </c>
    </row>
    <row r="18" customFormat="false" ht="15" hidden="false" customHeight="false" outlineLevel="0" collapsed="false">
      <c r="B18" s="7" t="s">
        <v>63</v>
      </c>
      <c r="C18" s="17" t="n">
        <f aca="false">Assumptions!C21*(1-Assumptions!C47)*C6</f>
        <v>30150</v>
      </c>
      <c r="D18" s="18" t="n">
        <f aca="false">IF(C18=0,"-",C18/C$6)</f>
        <v>0.03</v>
      </c>
      <c r="E18" s="17" t="n">
        <f aca="false">Assumptions!D21*(1-Assumptions!D47)*E6</f>
        <v>90450</v>
      </c>
      <c r="F18" s="18" t="n">
        <f aca="false">IF(E18=0,"-",E18/E$6)</f>
        <v>0.036</v>
      </c>
      <c r="G18" s="17" t="n">
        <f aca="false">Assumptions!E21*(1-Assumptions!E47)*G6</f>
        <v>213562.5</v>
      </c>
      <c r="H18" s="18" t="n">
        <f aca="false">IF(G18=0,"-",G18/G$6)</f>
        <v>0.0425</v>
      </c>
    </row>
    <row r="19" customFormat="false" ht="15" hidden="false" customHeight="false" outlineLevel="0" collapsed="false">
      <c r="B19" s="7" t="s">
        <v>64</v>
      </c>
      <c r="C19" s="17" t="n">
        <f aca="false">Assumptions!C22*(1-Assumptions!C48)*C6</f>
        <v>35175</v>
      </c>
      <c r="D19" s="18" t="n">
        <f aca="false">IF(C19=0,"-",C19/C$6)</f>
        <v>0.035</v>
      </c>
      <c r="E19" s="17" t="n">
        <f aca="false">Assumptions!D22*(1-Assumptions!D48)*E6</f>
        <v>84796.875</v>
      </c>
      <c r="F19" s="18" t="n">
        <f aca="false">IF(E19=0,"-",E19/E$6)</f>
        <v>0.03375</v>
      </c>
      <c r="G19" s="17" t="n">
        <f aca="false">Assumptions!E22*(1-Assumptions!E48)*G6</f>
        <v>160800</v>
      </c>
      <c r="H19" s="18" t="n">
        <f aca="false">IF(G19=0,"-",G19/G$6)</f>
        <v>0.032</v>
      </c>
    </row>
    <row r="20" customFormat="false" ht="15" hidden="false" customHeight="false" outlineLevel="0" collapsed="false">
      <c r="B20" s="7" t="s">
        <v>65</v>
      </c>
      <c r="C20" s="17" t="n">
        <f aca="false">Assumptions!C23*(1-Assumptions!C49)*C6</f>
        <v>9045</v>
      </c>
      <c r="D20" s="18" t="n">
        <f aca="false">IF(C20=0,"-",C20/C$6)</f>
        <v>0.009</v>
      </c>
      <c r="E20" s="17" t="n">
        <f aca="false">Assumptions!D23*(1-Assumptions!D49)*E6</f>
        <v>18090</v>
      </c>
      <c r="F20" s="18" t="n">
        <f aca="false">IF(E20=0,"-",E20/E$6)</f>
        <v>0.0072</v>
      </c>
      <c r="G20" s="17" t="n">
        <f aca="false">Assumptions!E23*(1-Assumptions!E49)*G6</f>
        <v>32662.5</v>
      </c>
      <c r="H20" s="18" t="n">
        <f aca="false">IF(G20=0,"-",G20/G$6)</f>
        <v>0.0065</v>
      </c>
    </row>
    <row r="21" customFormat="false" ht="15" hidden="false" customHeight="false" outlineLevel="0" collapsed="false">
      <c r="B21" s="7" t="s">
        <v>66</v>
      </c>
      <c r="C21" s="17" t="n">
        <f aca="false">Assumptions!C24*C6</f>
        <v>5025</v>
      </c>
      <c r="D21" s="18" t="n">
        <f aca="false">IF(C21=0,"-",C21/C$6)</f>
        <v>0.005</v>
      </c>
      <c r="E21" s="17" t="n">
        <f aca="false">Assumptions!D24*E6</f>
        <v>20100</v>
      </c>
      <c r="F21" s="18" t="n">
        <f aca="false">IF(E21=0,"-",E21/E$6)</f>
        <v>0.008</v>
      </c>
      <c r="G21" s="17" t="n">
        <f aca="false">Assumptions!E24*G6</f>
        <v>50250</v>
      </c>
      <c r="H21" s="18" t="n">
        <f aca="false">IF(G21=0,"-",G21/G$6)</f>
        <v>0.01</v>
      </c>
    </row>
    <row r="22" customFormat="false" ht="15" hidden="false" customHeight="false" outlineLevel="0" collapsed="false">
      <c r="B22" s="14" t="s">
        <v>67</v>
      </c>
      <c r="C22" s="19" t="n">
        <f aca="false">SUM(C18:C21)</f>
        <v>79395</v>
      </c>
      <c r="D22" s="16" t="n">
        <f aca="false">IF(C22=0,"-",C22/C$6)</f>
        <v>0.079</v>
      </c>
      <c r="E22" s="19" t="n">
        <f aca="false">SUM(E18:E21)</f>
        <v>213436.875</v>
      </c>
      <c r="F22" s="16" t="n">
        <f aca="false">IF(E22=0,"-",E22/E$6)</f>
        <v>0.08495</v>
      </c>
      <c r="G22" s="19" t="n">
        <f aca="false">SUM(G18:G21)</f>
        <v>457275</v>
      </c>
      <c r="H22" s="16" t="n">
        <f aca="false">IF(G22=0,"-",G22/G$6)</f>
        <v>0.091</v>
      </c>
    </row>
    <row r="24" customFormat="false" ht="15" hidden="false" customHeight="false" outlineLevel="0" collapsed="false">
      <c r="B24" s="5" t="s">
        <v>79</v>
      </c>
    </row>
    <row r="25" customFormat="false" ht="15" hidden="false" customHeight="false" outlineLevel="0" collapsed="false">
      <c r="B25" s="7" t="s">
        <v>22</v>
      </c>
      <c r="C25" s="17" t="n">
        <f aca="false">Assumptions!C27</f>
        <v>120000</v>
      </c>
      <c r="D25" s="18" t="n">
        <f aca="false">IF(C25=0,"-",C25/C$6)</f>
        <v>0.119402985074627</v>
      </c>
      <c r="E25" s="17" t="n">
        <f aca="false">Assumptions!D27</f>
        <v>160000</v>
      </c>
      <c r="F25" s="18" t="n">
        <f aca="false">IF(E25=0,"-",E25/E$6)</f>
        <v>0.063681592039801</v>
      </c>
      <c r="G25" s="17" t="n">
        <f aca="false">Assumptions!E27</f>
        <v>200000</v>
      </c>
      <c r="H25" s="18" t="n">
        <f aca="false">IF(G25=0,"-",G25/G$6)</f>
        <v>0.0398009950248756</v>
      </c>
    </row>
    <row r="26" customFormat="false" ht="15" hidden="false" customHeight="false" outlineLevel="0" collapsed="false">
      <c r="B26" s="7" t="s">
        <v>23</v>
      </c>
      <c r="C26" s="17" t="n">
        <f aca="false">Assumptions!C28*(1-Assumptions!C41)</f>
        <v>22500</v>
      </c>
      <c r="D26" s="18" t="n">
        <f aca="false">IF(C26=0,"-",C26/C$6)</f>
        <v>0.0223880597014925</v>
      </c>
      <c r="E26" s="17" t="n">
        <f aca="false">Assumptions!D28*(1-Assumptions!D41)</f>
        <v>52250</v>
      </c>
      <c r="F26" s="18" t="n">
        <f aca="false">IF(E26=0,"-",E26/E$6)</f>
        <v>0.0207960199004975</v>
      </c>
      <c r="G26" s="17" t="n">
        <f aca="false">Assumptions!E28*(1-Assumptions!E41)</f>
        <v>96000</v>
      </c>
      <c r="H26" s="18" t="n">
        <f aca="false">IF(G26=0,"-",G26/G$6)</f>
        <v>0.0191044776119403</v>
      </c>
    </row>
    <row r="27" customFormat="false" ht="15" hidden="false" customHeight="false" outlineLevel="0" collapsed="false">
      <c r="B27" s="7" t="s">
        <v>68</v>
      </c>
      <c r="C27" s="17" t="n">
        <f aca="false">Assumptions!C29</f>
        <v>24000</v>
      </c>
      <c r="D27" s="18" t="n">
        <f aca="false">IF(C27=0,"-",C27/C$6)</f>
        <v>0.0238805970149254</v>
      </c>
      <c r="E27" s="17" t="n">
        <f aca="false">Assumptions!D29</f>
        <v>36000</v>
      </c>
      <c r="F27" s="18" t="n">
        <f aca="false">IF(E27=0,"-",E27/E$6)</f>
        <v>0.0143283582089552</v>
      </c>
      <c r="G27" s="17" t="n">
        <f aca="false">Assumptions!E29</f>
        <v>48000</v>
      </c>
      <c r="H27" s="18" t="n">
        <f aca="false">IF(G27=0,"-",G27/G$6)</f>
        <v>0.00955223880597015</v>
      </c>
    </row>
    <row r="28" customFormat="false" ht="15" hidden="false" customHeight="false" outlineLevel="0" collapsed="false">
      <c r="B28" s="7" t="s">
        <v>69</v>
      </c>
      <c r="C28" s="17" t="n">
        <f aca="false">Assumptions!C30</f>
        <v>30000</v>
      </c>
      <c r="D28" s="18" t="n">
        <f aca="false">IF(C28=0,"-",C28/C$6)</f>
        <v>0.0298507462686567</v>
      </c>
      <c r="E28" s="17" t="n">
        <f aca="false">Assumptions!D30</f>
        <v>55000</v>
      </c>
      <c r="F28" s="18" t="n">
        <f aca="false">IF(E28=0,"-",E28/E$6)</f>
        <v>0.0218905472636816</v>
      </c>
      <c r="G28" s="17" t="n">
        <f aca="false">Assumptions!E30</f>
        <v>90000</v>
      </c>
      <c r="H28" s="18" t="n">
        <f aca="false">IF(G28=0,"-",G28/G$6)</f>
        <v>0.017910447761194</v>
      </c>
    </row>
    <row r="29" customFormat="false" ht="15" hidden="false" customHeight="false" outlineLevel="0" collapsed="false">
      <c r="B29" s="7" t="s">
        <v>80</v>
      </c>
      <c r="C29" s="17" t="n">
        <f aca="false">Assumptions!C31-Assumptions!C42+Assumptions!C53*12</f>
        <v>13000</v>
      </c>
      <c r="D29" s="18" t="n">
        <f aca="false">IF(C29=0,"-",C29/C$6)</f>
        <v>0.0129353233830846</v>
      </c>
      <c r="E29" s="17" t="n">
        <f aca="false">Assumptions!D31-Assumptions!D42+Assumptions!D53*12</f>
        <v>25000</v>
      </c>
      <c r="F29" s="18" t="n">
        <f aca="false">IF(E29=0,"-",E29/E$6)</f>
        <v>0.00995024875621891</v>
      </c>
      <c r="G29" s="17" t="n">
        <f aca="false">Assumptions!E31-Assumptions!E42+Assumptions!E53*12</f>
        <v>42000</v>
      </c>
      <c r="H29" s="18" t="n">
        <f aca="false">IF(G29=0,"-",G29/G$6)</f>
        <v>0.00835820895522388</v>
      </c>
    </row>
    <row r="30" customFormat="false" ht="15" hidden="false" customHeight="false" outlineLevel="0" collapsed="false">
      <c r="B30" s="7" t="s">
        <v>27</v>
      </c>
      <c r="C30" s="17" t="n">
        <f aca="false">Assumptions!C32*(1-Assumptions!C43)</f>
        <v>10500</v>
      </c>
      <c r="D30" s="18" t="n">
        <f aca="false">IF(C30=0,"-",C30/C$6)</f>
        <v>0.0104477611940299</v>
      </c>
      <c r="E30" s="17" t="n">
        <f aca="false">Assumptions!D32*(1-Assumptions!D43)</f>
        <v>17500</v>
      </c>
      <c r="F30" s="18" t="n">
        <f aca="false">IF(E30=0,"-",E30/E$6)</f>
        <v>0.00696517412935324</v>
      </c>
      <c r="G30" s="17" t="n">
        <f aca="false">Assumptions!E32*(1-Assumptions!E43)</f>
        <v>30000</v>
      </c>
      <c r="H30" s="18" t="n">
        <f aca="false">IF(G30=0,"-",G30/G$6)</f>
        <v>0.00597014925373134</v>
      </c>
    </row>
    <row r="31" customFormat="false" ht="15" hidden="false" customHeight="false" outlineLevel="0" collapsed="false">
      <c r="B31" s="7" t="s">
        <v>28</v>
      </c>
      <c r="C31" s="17" t="n">
        <f aca="false">Assumptions!C33</f>
        <v>8000</v>
      </c>
      <c r="D31" s="18" t="n">
        <f aca="false">IF(C31=0,"-",C31/C$6)</f>
        <v>0.00796019900497513</v>
      </c>
      <c r="E31" s="17" t="n">
        <f aca="false">Assumptions!D33</f>
        <v>15000</v>
      </c>
      <c r="F31" s="18" t="n">
        <f aca="false">IF(E31=0,"-",E31/E$6)</f>
        <v>0.00597014925373134</v>
      </c>
      <c r="G31" s="17" t="n">
        <f aca="false">Assumptions!E33</f>
        <v>25000</v>
      </c>
      <c r="H31" s="18" t="n">
        <f aca="false">IF(G31=0,"-",G31/G$6)</f>
        <v>0.00497512437810945</v>
      </c>
    </row>
    <row r="32" customFormat="false" ht="15" hidden="false" customHeight="false" outlineLevel="0" collapsed="false">
      <c r="B32" s="7" t="s">
        <v>70</v>
      </c>
      <c r="C32" s="17" t="n">
        <f aca="false">Assumptions!C34*(1-Assumptions!C44)</f>
        <v>4800</v>
      </c>
      <c r="D32" s="18" t="n">
        <f aca="false">IF(C32=0,"-",C32/C$6)</f>
        <v>0.00477611940298508</v>
      </c>
      <c r="E32" s="17" t="n">
        <f aca="false">Assumptions!D34*(1-Assumptions!D44)</f>
        <v>8000</v>
      </c>
      <c r="F32" s="18" t="n">
        <f aca="false">IF(E32=0,"-",E32/E$6)</f>
        <v>0.00318407960199005</v>
      </c>
      <c r="G32" s="17" t="n">
        <f aca="false">Assumptions!E34*(1-Assumptions!E44)</f>
        <v>14400</v>
      </c>
      <c r="H32" s="18" t="n">
        <f aca="false">IF(G32=0,"-",G32/G$6)</f>
        <v>0.00286567164179105</v>
      </c>
    </row>
    <row r="33" customFormat="false" ht="15" hidden="false" customHeight="false" outlineLevel="0" collapsed="false">
      <c r="B33" s="14" t="s">
        <v>71</v>
      </c>
      <c r="C33" s="19" t="n">
        <f aca="false">SUM(C25:C32)</f>
        <v>232800</v>
      </c>
      <c r="D33" s="16" t="n">
        <f aca="false">IF(C33=0,"-",C33/C$6)</f>
        <v>0.231641791044776</v>
      </c>
      <c r="E33" s="19" t="n">
        <f aca="false">SUM(E25:E32)</f>
        <v>368750</v>
      </c>
      <c r="F33" s="16" t="n">
        <f aca="false">IF(E33=0,"-",E33/E$6)</f>
        <v>0.146766169154229</v>
      </c>
      <c r="G33" s="19" t="n">
        <f aca="false">SUM(G25:G32)</f>
        <v>545400</v>
      </c>
      <c r="H33" s="16" t="n">
        <f aca="false">IF(G33=0,"-",G33/G$6)</f>
        <v>0.108537313432836</v>
      </c>
    </row>
    <row r="35" customFormat="false" ht="15" hidden="false" customHeight="false" outlineLevel="0" collapsed="false">
      <c r="B35" s="14" t="s">
        <v>72</v>
      </c>
      <c r="C35" s="19" t="n">
        <f aca="false">C13+C22+C33</f>
        <v>864945</v>
      </c>
      <c r="D35" s="16" t="n">
        <f aca="false">IF(C35=0,"-",C35/C$6)</f>
        <v>0.860641791044776</v>
      </c>
      <c r="E35" s="19" t="n">
        <f aca="false">E13+E22+E33</f>
        <v>1901249.375</v>
      </c>
      <c r="F35" s="16" t="n">
        <f aca="false">IF(E35=0,"-",E35/E$6)</f>
        <v>0.756716169154229</v>
      </c>
      <c r="G35" s="19" t="n">
        <f aca="false">G13+G22+G33</f>
        <v>3515175</v>
      </c>
      <c r="H35" s="16" t="n">
        <f aca="false">IF(G35=0,"-",G35/G$6)</f>
        <v>0.699537313432836</v>
      </c>
    </row>
    <row r="37" customFormat="false" ht="15" hidden="false" customHeight="false" outlineLevel="0" collapsed="false">
      <c r="B37" s="24" t="s">
        <v>73</v>
      </c>
      <c r="C37" s="25" t="n">
        <f aca="false">C6-C35</f>
        <v>140055</v>
      </c>
      <c r="D37" s="26" t="n">
        <f aca="false">IF(C37=0,"-",C37/C$6)</f>
        <v>0.139358208955224</v>
      </c>
      <c r="E37" s="25" t="n">
        <f aca="false">E6-E35</f>
        <v>611250.625</v>
      </c>
      <c r="F37" s="26" t="n">
        <f aca="false">IF(E37=0,"-",E37/E$6)</f>
        <v>0.243283830845771</v>
      </c>
      <c r="G37" s="25" t="n">
        <f aca="false">G6-G35</f>
        <v>1509825</v>
      </c>
      <c r="H37" s="26" t="n">
        <f aca="false">IF(G37=0,"-",G37/G$6)</f>
        <v>0.300462686567164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3"/>
  </cols>
  <sheetData>
    <row r="2" customFormat="false" ht="19.7" hidden="false" customHeight="false" outlineLevel="0" collapsed="false">
      <c r="B2" s="1" t="s">
        <v>81</v>
      </c>
      <c r="C2" s="1"/>
      <c r="D2" s="1"/>
      <c r="E2" s="1"/>
    </row>
    <row r="4" customFormat="false" ht="15" hidden="false" customHeight="false" outlineLevel="0" collapsed="false">
      <c r="B4" s="3"/>
      <c r="C4" s="4" t="s">
        <v>2</v>
      </c>
      <c r="D4" s="4" t="s">
        <v>3</v>
      </c>
      <c r="E4" s="4" t="s">
        <v>4</v>
      </c>
    </row>
    <row r="5" customFormat="false" ht="15" hidden="false" customHeight="false" outlineLevel="0" collapsed="false">
      <c r="B5" s="5" t="s">
        <v>5</v>
      </c>
    </row>
    <row r="6" customFormat="false" ht="15" hidden="false" customHeight="false" outlineLevel="0" collapsed="false">
      <c r="B6" s="7" t="s">
        <v>82</v>
      </c>
      <c r="C6" s="27" t="n">
        <f aca="false">'Baseline P&amp;L'!C6</f>
        <v>1000000</v>
      </c>
      <c r="D6" s="27" t="n">
        <f aca="false">'Baseline P&amp;L'!E6</f>
        <v>2500000</v>
      </c>
      <c r="E6" s="27" t="n">
        <f aca="false">'Baseline P&amp;L'!G6</f>
        <v>5000000</v>
      </c>
    </row>
    <row r="7" customFormat="false" ht="15" hidden="false" customHeight="false" outlineLevel="0" collapsed="false">
      <c r="B7" s="28" t="s">
        <v>83</v>
      </c>
      <c r="C7" s="29" t="n">
        <f aca="false">'AI-Enhanced P&amp;L'!C6</f>
        <v>1005000</v>
      </c>
      <c r="D7" s="29" t="n">
        <f aca="false">'AI-Enhanced P&amp;L'!E6</f>
        <v>2512500</v>
      </c>
      <c r="E7" s="29" t="n">
        <f aca="false">'AI-Enhanced P&amp;L'!G6</f>
        <v>5025000</v>
      </c>
    </row>
    <row r="8" customFormat="false" ht="15" hidden="false" customHeight="false" outlineLevel="0" collapsed="false">
      <c r="B8" s="30" t="s">
        <v>84</v>
      </c>
      <c r="C8" s="31" t="n">
        <f aca="false">C7-C6</f>
        <v>4999.99999999988</v>
      </c>
      <c r="D8" s="31" t="n">
        <f aca="false">D7-D6</f>
        <v>12499.9999999995</v>
      </c>
      <c r="E8" s="31" t="n">
        <f aca="false">E7-E6</f>
        <v>24999.9999999991</v>
      </c>
    </row>
    <row r="10" customFormat="false" ht="15" hidden="false" customHeight="false" outlineLevel="0" collapsed="false">
      <c r="B10" s="5" t="s">
        <v>85</v>
      </c>
    </row>
    <row r="11" customFormat="false" ht="15" hidden="false" customHeight="false" outlineLevel="0" collapsed="false">
      <c r="B11" s="7" t="s">
        <v>86</v>
      </c>
      <c r="C11" s="27" t="n">
        <f aca="false">'Baseline P&amp;L'!C22</f>
        <v>110000</v>
      </c>
      <c r="D11" s="27" t="n">
        <f aca="false">'Baseline P&amp;L'!E22</f>
        <v>275000</v>
      </c>
      <c r="E11" s="27" t="n">
        <f aca="false">'Baseline P&amp;L'!G22</f>
        <v>550000</v>
      </c>
    </row>
    <row r="12" customFormat="false" ht="15" hidden="false" customHeight="false" outlineLevel="0" collapsed="false">
      <c r="B12" s="28" t="s">
        <v>87</v>
      </c>
      <c r="C12" s="29" t="n">
        <f aca="false">'AI-Enhanced P&amp;L'!C22</f>
        <v>79395</v>
      </c>
      <c r="D12" s="29" t="n">
        <f aca="false">'AI-Enhanced P&amp;L'!E22</f>
        <v>213436.875</v>
      </c>
      <c r="E12" s="29" t="n">
        <f aca="false">'AI-Enhanced P&amp;L'!G22</f>
        <v>457275</v>
      </c>
    </row>
    <row r="13" customFormat="false" ht="15" hidden="false" customHeight="false" outlineLevel="0" collapsed="false">
      <c r="B13" s="30" t="s">
        <v>88</v>
      </c>
      <c r="C13" s="32" t="n">
        <f aca="false">C11-C12</f>
        <v>30605</v>
      </c>
      <c r="D13" s="32" t="n">
        <f aca="false">D11-D12</f>
        <v>61563.1250000001</v>
      </c>
      <c r="E13" s="32" t="n">
        <f aca="false">E11-E12</f>
        <v>92725.0000000001</v>
      </c>
    </row>
    <row r="15" customFormat="false" ht="15" hidden="false" customHeight="false" outlineLevel="0" collapsed="false">
      <c r="B15" s="5" t="s">
        <v>89</v>
      </c>
    </row>
    <row r="16" customFormat="false" ht="15" hidden="false" customHeight="false" outlineLevel="0" collapsed="false">
      <c r="B16" s="7" t="s">
        <v>90</v>
      </c>
      <c r="C16" s="27" t="n">
        <f aca="false">'Baseline P&amp;L'!C33</f>
        <v>260000</v>
      </c>
      <c r="D16" s="27" t="n">
        <f aca="false">'Baseline P&amp;L'!E33</f>
        <v>420000</v>
      </c>
      <c r="E16" s="27" t="n">
        <f aca="false">'Baseline P&amp;L'!G33</f>
        <v>623000</v>
      </c>
    </row>
    <row r="17" customFormat="false" ht="15" hidden="false" customHeight="false" outlineLevel="0" collapsed="false">
      <c r="B17" s="28" t="s">
        <v>91</v>
      </c>
      <c r="C17" s="29" t="n">
        <f aca="false">'AI-Enhanced P&amp;L'!C33</f>
        <v>232800</v>
      </c>
      <c r="D17" s="29" t="n">
        <f aca="false">'AI-Enhanced P&amp;L'!E33</f>
        <v>368750</v>
      </c>
      <c r="E17" s="29" t="n">
        <f aca="false">'AI-Enhanced P&amp;L'!G33</f>
        <v>545400</v>
      </c>
    </row>
    <row r="18" customFormat="false" ht="15" hidden="false" customHeight="false" outlineLevel="0" collapsed="false">
      <c r="B18" s="30" t="s">
        <v>92</v>
      </c>
      <c r="C18" s="32" t="n">
        <f aca="false">C16-C17</f>
        <v>27200</v>
      </c>
      <c r="D18" s="32" t="n">
        <f aca="false">D16-D17</f>
        <v>51250</v>
      </c>
      <c r="E18" s="32" t="n">
        <f aca="false">E16-E17</f>
        <v>77600</v>
      </c>
    </row>
    <row r="20" customFormat="false" ht="15" hidden="false" customHeight="false" outlineLevel="0" collapsed="false">
      <c r="B20" s="5" t="s">
        <v>93</v>
      </c>
    </row>
    <row r="21" customFormat="false" ht="15" hidden="false" customHeight="false" outlineLevel="0" collapsed="false">
      <c r="B21" s="7" t="s">
        <v>94</v>
      </c>
      <c r="C21" s="33" t="n">
        <f aca="false">'Baseline P&amp;L'!C37</f>
        <v>80000</v>
      </c>
      <c r="D21" s="33" t="n">
        <f aca="false">'Baseline P&amp;L'!E37</f>
        <v>492500</v>
      </c>
      <c r="E21" s="33" t="n">
        <f aca="false">'Baseline P&amp;L'!G37</f>
        <v>1327000</v>
      </c>
    </row>
    <row r="22" customFormat="false" ht="15" hidden="false" customHeight="false" outlineLevel="0" collapsed="false">
      <c r="B22" s="7" t="s">
        <v>95</v>
      </c>
      <c r="C22" s="18" t="n">
        <f aca="false">IF('Baseline P&amp;L'!C6=0,0,'Baseline P&amp;L'!C37/'Baseline P&amp;L'!C6)</f>
        <v>0.08</v>
      </c>
      <c r="D22" s="18" t="n">
        <f aca="false">IF('Baseline P&amp;L'!E6=0,0,'Baseline P&amp;L'!E37/'Baseline P&amp;L'!E6)</f>
        <v>0.197</v>
      </c>
      <c r="E22" s="18" t="n">
        <f aca="false">IF('Baseline P&amp;L'!G6=0,0,'Baseline P&amp;L'!G37/'Baseline P&amp;L'!G6)</f>
        <v>0.2654</v>
      </c>
    </row>
    <row r="23" customFormat="false" ht="15" hidden="false" customHeight="false" outlineLevel="0" collapsed="false">
      <c r="B23" s="34" t="s">
        <v>96</v>
      </c>
      <c r="C23" s="35" t="n">
        <f aca="false">'AI-Enhanced P&amp;L'!C37</f>
        <v>140055</v>
      </c>
      <c r="D23" s="35" t="n">
        <f aca="false">'AI-Enhanced P&amp;L'!E37</f>
        <v>611250.625</v>
      </c>
      <c r="E23" s="35" t="n">
        <f aca="false">'AI-Enhanced P&amp;L'!G37</f>
        <v>1509825</v>
      </c>
    </row>
    <row r="24" customFormat="false" ht="15" hidden="false" customHeight="false" outlineLevel="0" collapsed="false">
      <c r="B24" s="28" t="s">
        <v>97</v>
      </c>
      <c r="C24" s="36" t="n">
        <f aca="false">IF('AI-Enhanced P&amp;L'!C6=0,0,'AI-Enhanced P&amp;L'!C37/'AI-Enhanced P&amp;L'!C6)</f>
        <v>0.139358208955224</v>
      </c>
      <c r="D24" s="36" t="n">
        <f aca="false">IF('AI-Enhanced P&amp;L'!E6=0,0,'AI-Enhanced P&amp;L'!E37/'AI-Enhanced P&amp;L'!E6)</f>
        <v>0.243283830845771</v>
      </c>
      <c r="E24" s="36" t="n">
        <f aca="false">IF('AI-Enhanced P&amp;L'!G6=0,0,'AI-Enhanced P&amp;L'!G37/'AI-Enhanced P&amp;L'!G6)</f>
        <v>0.300462686567164</v>
      </c>
    </row>
    <row r="26" customFormat="false" ht="15" hidden="false" customHeight="false" outlineLevel="0" collapsed="false">
      <c r="B26" s="37" t="s">
        <v>98</v>
      </c>
      <c r="C26" s="38" t="n">
        <f aca="false">C23-C21</f>
        <v>60055</v>
      </c>
      <c r="D26" s="38" t="n">
        <f aca="false">D23-D21</f>
        <v>118750.625</v>
      </c>
      <c r="E26" s="38" t="n">
        <f aca="false">E23-E21</f>
        <v>182825</v>
      </c>
    </row>
    <row r="27" customFormat="false" ht="15" hidden="false" customHeight="false" outlineLevel="0" collapsed="false">
      <c r="B27" s="39" t="s">
        <v>99</v>
      </c>
      <c r="C27" s="40" t="n">
        <f aca="false">IF('AI-Enhanced P&amp;L'!C6=0,0,'AI-Enhanced P&amp;L'!C37/'AI-Enhanced P&amp;L'!C6)-IF('Baseline P&amp;L'!C6=0,0,'Baseline P&amp;L'!C37/'Baseline P&amp;L'!C6)</f>
        <v>0.0593582089552239</v>
      </c>
      <c r="D27" s="40" t="n">
        <f aca="false">IF('AI-Enhanced P&amp;L'!E6=0,0,'AI-Enhanced P&amp;L'!E37/'AI-Enhanced P&amp;L'!E6)-IF('Baseline P&amp;L'!E6=0,0,'Baseline P&amp;L'!E37/'Baseline P&amp;L'!E6)</f>
        <v>0.0462838308457712</v>
      </c>
      <c r="E27" s="40" t="n">
        <f aca="false">IF('AI-Enhanced P&amp;L'!G6=0,0,'AI-Enhanced P&amp;L'!G37/'AI-Enhanced P&amp;L'!G6)-IF('Baseline P&amp;L'!G6=0,0,'Baseline P&amp;L'!G37/'Baseline P&amp;L'!G6)</f>
        <v>0.0350626865671641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2026-03-10T15:27:23Z</dcterms:created>
  <dc:creator>openpyxl</dc:creator>
  <dc:description/>
  <dc:language>en-US</dc:language>
  <cp:lastModifiedBy/>
  <dcterms:modified xsi:type="dcterms:W3CDTF">2026-03-10T15:27:23Z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